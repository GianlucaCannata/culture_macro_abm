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nlucacannata/Desktop/Ricerca/Growth and culture/Datasets/"/>
    </mc:Choice>
  </mc:AlternateContent>
  <xr:revisionPtr revIDLastSave="0" documentId="13_ncr:1_{D3C6E899-87F6-6F48-8BEE-2D401E65C1ED}" xr6:coauthVersionLast="47" xr6:coauthVersionMax="47" xr10:uidLastSave="{00000000-0000-0000-0000-000000000000}"/>
  <bookViews>
    <workbookView xWindow="13560" yWindow="860" windowWidth="18120" windowHeight="18780" xr2:uid="{E95FA452-C8A9-41E1-832C-9F1A610E680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</calcChain>
</file>

<file path=xl/sharedStrings.xml><?xml version="1.0" encoding="utf-8"?>
<sst xmlns="http://schemas.openxmlformats.org/spreadsheetml/2006/main" count="54" uniqueCount="52">
  <si>
    <t>countries</t>
  </si>
  <si>
    <t>real_gdp_pc</t>
  </si>
  <si>
    <t>labour_force</t>
  </si>
  <si>
    <t>n_firms</t>
  </si>
  <si>
    <t>u_rate</t>
  </si>
  <si>
    <t>work_ethic_index</t>
  </si>
  <si>
    <t>Bulgaria</t>
  </si>
  <si>
    <t>Denmark</t>
  </si>
  <si>
    <t>Finland</t>
  </si>
  <si>
    <t>Germany</t>
  </si>
  <si>
    <t>Belgium</t>
  </si>
  <si>
    <t>Greece</t>
  </si>
  <si>
    <t>France</t>
  </si>
  <si>
    <t>Hungary</t>
  </si>
  <si>
    <t>Italy</t>
  </si>
  <si>
    <t>Austria</t>
  </si>
  <si>
    <t>Netherlands</t>
  </si>
  <si>
    <t>Poland</t>
  </si>
  <si>
    <t>Portugal</t>
  </si>
  <si>
    <t>Slovenia</t>
  </si>
  <si>
    <t>Slovakia</t>
  </si>
  <si>
    <t>Spain</t>
  </si>
  <si>
    <t>Switzerland</t>
  </si>
  <si>
    <t>Turkey</t>
  </si>
  <si>
    <t>5.2</t>
  </si>
  <si>
    <t>4.2</t>
  </si>
  <si>
    <t>6.2</t>
  </si>
  <si>
    <t>4.3</t>
  </si>
  <si>
    <t>5.7</t>
  </si>
  <si>
    <t>8.4</t>
  </si>
  <si>
    <t>7.4</t>
  </si>
  <si>
    <t>3.4</t>
  </si>
  <si>
    <t>4.4</t>
  </si>
  <si>
    <t>10.1</t>
  </si>
  <si>
    <t>6.5</t>
  </si>
  <si>
    <t>3.7</t>
  </si>
  <si>
    <t>2.9</t>
  </si>
  <si>
    <t>5.3</t>
  </si>
  <si>
    <t>11.4</t>
  </si>
  <si>
    <t>8.7</t>
  </si>
  <si>
    <t>employment_rates</t>
  </si>
  <si>
    <t>shadow</t>
  </si>
  <si>
    <t>neet</t>
  </si>
  <si>
    <t>diploma</t>
  </si>
  <si>
    <t>tertiary_ed</t>
  </si>
  <si>
    <t>learning_participation</t>
  </si>
  <si>
    <t>absenteism_rate</t>
  </si>
  <si>
    <t>satisfaction_rate</t>
  </si>
  <si>
    <t>Nw</t>
  </si>
  <si>
    <t>Nf</t>
  </si>
  <si>
    <t>A</t>
  </si>
  <si>
    <t>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</si>
</sst>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4"/>
    </xf>
    <xf numFmtId="3" fontId="0" fillId="0" borderId="0" xfId="0" applyNumberFormat="1" applyAlignment="1">
      <alignment horizontal="left" vertical="center" indent="4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indent="4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3" fillId="0" borderId="0" xfId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</cellXfs>
  <cellStyles count="2">
    <cellStyle name="Normal" xfId="0" builtinId="0"/>
    <cellStyle name="Normale 3" xfId="1" xr:uid="{0604FA38-D654-5C49-9903-1A59BBE48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710A-2315-4631-8586-545221E6EF1A}">
  <dimension ref="A1:R40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1" max="1" width="12" customWidth="1"/>
    <col min="2" max="2" width="15.83203125" customWidth="1"/>
    <col min="3" max="3" width="14.6640625" style="2" customWidth="1"/>
    <col min="5" max="5" width="9.1640625" style="2"/>
    <col min="6" max="6" width="19.33203125" style="4" customWidth="1"/>
    <col min="7" max="7" width="13.33203125" customWidth="1"/>
    <col min="17" max="17" width="11.6640625" bestFit="1" customWidth="1"/>
  </cols>
  <sheetData>
    <row r="1" spans="1:18" s="6" customFormat="1" x14ac:dyDescent="0.2">
      <c r="A1" s="6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8" t="s">
        <v>5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46</v>
      </c>
      <c r="N1" s="11" t="s">
        <v>47</v>
      </c>
      <c r="O1" s="7" t="s">
        <v>48</v>
      </c>
      <c r="P1" s="7" t="s">
        <v>49</v>
      </c>
      <c r="Q1" s="7" t="s">
        <v>50</v>
      </c>
      <c r="R1" s="7" t="s">
        <v>51</v>
      </c>
    </row>
    <row r="2" spans="1:18" x14ac:dyDescent="0.2">
      <c r="A2" t="s">
        <v>15</v>
      </c>
      <c r="B2" s="1">
        <v>41420</v>
      </c>
      <c r="C2" s="18">
        <v>4637.33</v>
      </c>
      <c r="D2" s="1">
        <v>329356</v>
      </c>
      <c r="E2" s="2" t="s">
        <v>24</v>
      </c>
      <c r="F2" s="4">
        <v>0.72489999999999999</v>
      </c>
      <c r="G2" s="9">
        <v>77.400000000000006</v>
      </c>
      <c r="H2" s="2">
        <v>9.4</v>
      </c>
      <c r="I2" s="9">
        <v>9.1999999999999993</v>
      </c>
      <c r="J2">
        <v>86.2</v>
      </c>
      <c r="K2">
        <v>42.44</v>
      </c>
      <c r="L2" s="2">
        <v>14.9</v>
      </c>
      <c r="M2" s="2">
        <v>3.3</v>
      </c>
      <c r="N2" s="12">
        <v>55.856610800744875</v>
      </c>
      <c r="O2">
        <f>ROUND(C2*1000/3500,0)</f>
        <v>1325</v>
      </c>
      <c r="P2">
        <f>ROUND(D2/3500,0)</f>
        <v>94</v>
      </c>
      <c r="Q2">
        <v>1.9234199999999999</v>
      </c>
      <c r="R2">
        <v>24.295940000000002</v>
      </c>
    </row>
    <row r="3" spans="1:18" x14ac:dyDescent="0.2">
      <c r="A3" t="s">
        <v>10</v>
      </c>
      <c r="B3" s="1">
        <v>40650</v>
      </c>
      <c r="C3" s="18">
        <v>5285.85</v>
      </c>
      <c r="D3" s="1">
        <v>1187742</v>
      </c>
      <c r="E3" s="2" t="s">
        <v>28</v>
      </c>
      <c r="F3" s="4">
        <v>0.50049999999999994</v>
      </c>
      <c r="G3" s="9">
        <v>72.3</v>
      </c>
      <c r="H3" s="2">
        <v>21.5</v>
      </c>
      <c r="I3" s="9">
        <v>17.399999999999999</v>
      </c>
      <c r="J3">
        <v>82.8</v>
      </c>
      <c r="K3">
        <v>50.87</v>
      </c>
      <c r="L3" s="2">
        <v>7</v>
      </c>
      <c r="M3" s="2">
        <v>3.6</v>
      </c>
      <c r="N3" s="12">
        <v>55.67059211747479</v>
      </c>
      <c r="O3">
        <f t="shared" ref="O3:O19" si="0">ROUND(C3*1000/3500,0)</f>
        <v>1510</v>
      </c>
      <c r="P3">
        <f t="shared" ref="P3:P19" si="1">ROUND(D3/3500,0)</f>
        <v>339</v>
      </c>
      <c r="Q3">
        <v>1.901977</v>
      </c>
      <c r="R3">
        <v>7.6370610000000001</v>
      </c>
    </row>
    <row r="4" spans="1:18" x14ac:dyDescent="0.2">
      <c r="A4" t="s">
        <v>6</v>
      </c>
      <c r="B4" s="1">
        <v>8260</v>
      </c>
      <c r="C4" s="18">
        <v>2945.6</v>
      </c>
      <c r="D4" s="1">
        <v>942133</v>
      </c>
      <c r="E4" s="2" t="s">
        <v>25</v>
      </c>
      <c r="F4" s="4">
        <v>0.33119999999999999</v>
      </c>
      <c r="G4" s="9">
        <v>76.8</v>
      </c>
      <c r="H4" s="2">
        <v>37.1</v>
      </c>
      <c r="I4" s="9">
        <v>17.399999999999999</v>
      </c>
      <c r="J4">
        <v>86.9</v>
      </c>
      <c r="K4">
        <v>35.799999999999997</v>
      </c>
      <c r="L4" s="2">
        <v>2.2000000000000002</v>
      </c>
      <c r="M4" s="9">
        <v>0.4</v>
      </c>
      <c r="N4" s="12">
        <v>30.198398886181693</v>
      </c>
      <c r="O4">
        <f t="shared" si="0"/>
        <v>842</v>
      </c>
      <c r="P4">
        <f t="shared" si="1"/>
        <v>269</v>
      </c>
      <c r="Q4">
        <v>1</v>
      </c>
      <c r="R4">
        <v>5.4520850000000003</v>
      </c>
    </row>
    <row r="5" spans="1:18" x14ac:dyDescent="0.2">
      <c r="A5" t="s">
        <v>7</v>
      </c>
      <c r="B5" s="1">
        <v>54820</v>
      </c>
      <c r="C5" s="18">
        <v>3116.75</v>
      </c>
      <c r="D5" s="1">
        <v>544350</v>
      </c>
      <c r="E5" s="2" t="s">
        <v>26</v>
      </c>
      <c r="F5" s="4">
        <v>0.7621</v>
      </c>
      <c r="G5" s="9">
        <v>80.2</v>
      </c>
      <c r="H5" s="2">
        <v>18</v>
      </c>
      <c r="I5" s="9">
        <v>9.3000000000000007</v>
      </c>
      <c r="J5">
        <v>83.6</v>
      </c>
      <c r="K5">
        <v>49.04</v>
      </c>
      <c r="L5" s="2">
        <v>28</v>
      </c>
      <c r="M5" s="2">
        <v>2.1</v>
      </c>
      <c r="N5" s="12">
        <v>62.839421088904203</v>
      </c>
      <c r="O5">
        <f t="shared" si="0"/>
        <v>891</v>
      </c>
      <c r="P5">
        <f t="shared" si="1"/>
        <v>156</v>
      </c>
      <c r="Q5">
        <v>2.2965749999999998</v>
      </c>
      <c r="R5">
        <v>9.7407690000000002</v>
      </c>
    </row>
    <row r="6" spans="1:18" x14ac:dyDescent="0.2">
      <c r="A6" t="s">
        <v>8</v>
      </c>
      <c r="B6" s="1">
        <v>40780</v>
      </c>
      <c r="C6" s="18">
        <v>2738.75</v>
      </c>
      <c r="D6" s="1">
        <v>731056</v>
      </c>
      <c r="E6" s="2" t="s">
        <v>29</v>
      </c>
      <c r="F6" s="4">
        <v>0.66449999999999998</v>
      </c>
      <c r="G6" s="9">
        <v>77</v>
      </c>
      <c r="H6" s="2">
        <v>19.3</v>
      </c>
      <c r="I6" s="9">
        <v>10.3</v>
      </c>
      <c r="J6">
        <v>88.9</v>
      </c>
      <c r="K6">
        <v>40.06</v>
      </c>
      <c r="L6" s="2">
        <v>26.4</v>
      </c>
      <c r="M6" s="2">
        <v>5</v>
      </c>
      <c r="N6" s="12">
        <v>35.51632349487199</v>
      </c>
      <c r="O6">
        <f t="shared" si="0"/>
        <v>783</v>
      </c>
      <c r="P6">
        <f t="shared" si="1"/>
        <v>209</v>
      </c>
      <c r="Q6">
        <v>1.905597</v>
      </c>
      <c r="R6">
        <v>6.2394780000000001</v>
      </c>
    </row>
    <row r="7" spans="1:18" x14ac:dyDescent="0.2">
      <c r="A7" t="s">
        <v>12</v>
      </c>
      <c r="B7" s="1">
        <v>35770</v>
      </c>
      <c r="C7" s="18">
        <v>30653.53</v>
      </c>
      <c r="D7" s="1">
        <v>7300516</v>
      </c>
      <c r="E7" s="2" t="s">
        <v>30</v>
      </c>
      <c r="F7" s="4">
        <v>0.65880000000000005</v>
      </c>
      <c r="G7" s="9">
        <v>75.099999999999994</v>
      </c>
      <c r="H7" s="2">
        <v>14.8</v>
      </c>
      <c r="I7" s="9">
        <v>14</v>
      </c>
      <c r="J7">
        <v>83.9</v>
      </c>
      <c r="K7">
        <v>50.26</v>
      </c>
      <c r="L7" s="2">
        <v>18.8</v>
      </c>
      <c r="M7" s="2">
        <v>4.0999999999999996</v>
      </c>
      <c r="N7" s="12">
        <v>41.145317794620212</v>
      </c>
      <c r="O7">
        <f t="shared" si="0"/>
        <v>8758</v>
      </c>
      <c r="P7">
        <f t="shared" si="1"/>
        <v>2086</v>
      </c>
      <c r="Q7">
        <v>1.7660819999999999</v>
      </c>
      <c r="R7">
        <v>7.0686900000000001</v>
      </c>
    </row>
    <row r="8" spans="1:18" x14ac:dyDescent="0.2">
      <c r="A8" t="s">
        <v>9</v>
      </c>
      <c r="B8" s="1">
        <v>39680</v>
      </c>
      <c r="C8" s="18">
        <v>42391.9</v>
      </c>
      <c r="D8" s="1">
        <v>3016160</v>
      </c>
      <c r="E8" s="2" t="s">
        <v>31</v>
      </c>
      <c r="F8" s="4">
        <v>0.61099999999999999</v>
      </c>
      <c r="G8" s="9">
        <v>81.3</v>
      </c>
      <c r="H8" s="2">
        <v>16</v>
      </c>
      <c r="I8" s="9">
        <v>12.2</v>
      </c>
      <c r="J8">
        <v>84.1</v>
      </c>
      <c r="K8">
        <v>35.880000000000003</v>
      </c>
      <c r="L8" s="2">
        <v>8.5</v>
      </c>
      <c r="M8" s="2">
        <v>3.6</v>
      </c>
      <c r="N8" s="12">
        <v>32.05161484399828</v>
      </c>
      <c r="O8">
        <f t="shared" si="0"/>
        <v>12112</v>
      </c>
      <c r="P8">
        <f t="shared" si="1"/>
        <v>862</v>
      </c>
      <c r="Q8">
        <v>1.874965</v>
      </c>
      <c r="R8">
        <v>24.678740000000001</v>
      </c>
    </row>
    <row r="9" spans="1:18" x14ac:dyDescent="0.2">
      <c r="A9" t="s">
        <v>11</v>
      </c>
      <c r="B9" s="1">
        <v>19140</v>
      </c>
      <c r="C9" s="18">
        <v>4617.6499999999996</v>
      </c>
      <c r="D9" s="1">
        <v>348702</v>
      </c>
      <c r="E9" s="2" t="s">
        <v>33</v>
      </c>
      <c r="F9" s="4">
        <v>0.31659999999999999</v>
      </c>
      <c r="G9" s="9">
        <v>69.3</v>
      </c>
      <c r="H9" s="2">
        <v>29.4</v>
      </c>
      <c r="I9" s="9">
        <v>20.7</v>
      </c>
      <c r="J9">
        <v>82.1</v>
      </c>
      <c r="K9">
        <v>44.18</v>
      </c>
      <c r="L9" s="2">
        <v>4</v>
      </c>
      <c r="M9" s="2">
        <v>0.2</v>
      </c>
      <c r="N9" s="12">
        <v>51.743563599286254</v>
      </c>
      <c r="O9">
        <f t="shared" si="0"/>
        <v>1319</v>
      </c>
      <c r="P9">
        <f t="shared" si="1"/>
        <v>100</v>
      </c>
      <c r="Q9">
        <v>1.30298</v>
      </c>
      <c r="R9">
        <v>21.559650000000001</v>
      </c>
    </row>
    <row r="10" spans="1:18" x14ac:dyDescent="0.2">
      <c r="A10" t="s">
        <v>13</v>
      </c>
      <c r="B10" s="1">
        <v>14880</v>
      </c>
      <c r="C10" s="18">
        <v>4790.6000000000004</v>
      </c>
      <c r="D10" s="1">
        <v>647648</v>
      </c>
      <c r="E10" s="2" t="s">
        <v>32</v>
      </c>
      <c r="F10" s="4">
        <v>0.49130000000000001</v>
      </c>
      <c r="G10" s="9">
        <v>81.099999999999994</v>
      </c>
      <c r="H10" s="2">
        <v>26.2</v>
      </c>
      <c r="I10" s="9">
        <v>14.6</v>
      </c>
      <c r="J10">
        <v>88.1</v>
      </c>
      <c r="K10">
        <v>32.909999999999997</v>
      </c>
      <c r="L10" s="2">
        <v>6.3</v>
      </c>
      <c r="M10" s="2">
        <v>0.8</v>
      </c>
      <c r="N10" s="12">
        <v>65.174949565066498</v>
      </c>
      <c r="O10">
        <f t="shared" si="0"/>
        <v>1369</v>
      </c>
      <c r="P10">
        <f t="shared" si="1"/>
        <v>185</v>
      </c>
      <c r="Q10">
        <v>1.18435</v>
      </c>
      <c r="R10">
        <v>12.862550000000001</v>
      </c>
    </row>
    <row r="11" spans="1:18" x14ac:dyDescent="0.2">
      <c r="A11" t="s">
        <v>14</v>
      </c>
      <c r="B11" s="1">
        <v>31090</v>
      </c>
      <c r="C11" s="18">
        <v>24798.15</v>
      </c>
      <c r="D11" s="1">
        <v>2763992</v>
      </c>
      <c r="E11" s="2" t="s">
        <v>34</v>
      </c>
      <c r="F11" s="4">
        <v>0.1411</v>
      </c>
      <c r="G11" s="9">
        <v>67.099999999999994</v>
      </c>
      <c r="H11" s="2">
        <v>26.6</v>
      </c>
      <c r="I11" s="9">
        <v>23.7</v>
      </c>
      <c r="J11">
        <v>66.7</v>
      </c>
      <c r="K11">
        <v>28.27</v>
      </c>
      <c r="L11" s="2">
        <v>8.3000000000000007</v>
      </c>
      <c r="M11" s="2">
        <v>0.9</v>
      </c>
      <c r="N11" s="12">
        <v>59.763524183611281</v>
      </c>
      <c r="O11">
        <f t="shared" si="0"/>
        <v>7085</v>
      </c>
      <c r="P11">
        <f t="shared" si="1"/>
        <v>790</v>
      </c>
      <c r="Q11">
        <v>1.635756</v>
      </c>
      <c r="R11">
        <v>15.2462</v>
      </c>
    </row>
    <row r="12" spans="1:18" x14ac:dyDescent="0.2">
      <c r="A12" t="s">
        <v>16</v>
      </c>
      <c r="B12" s="1">
        <v>46130</v>
      </c>
      <c r="C12" s="18">
        <v>9773.1</v>
      </c>
      <c r="D12" s="1">
        <v>1951901</v>
      </c>
      <c r="E12" s="2" t="s">
        <v>35</v>
      </c>
      <c r="F12" s="4">
        <v>0.86209999999999998</v>
      </c>
      <c r="G12" s="9">
        <v>83.5</v>
      </c>
      <c r="H12" s="2">
        <v>13</v>
      </c>
      <c r="I12" s="9">
        <v>7</v>
      </c>
      <c r="J12">
        <v>80.8</v>
      </c>
      <c r="K12">
        <v>55.6</v>
      </c>
      <c r="L12" s="2">
        <v>18.8</v>
      </c>
      <c r="M12" s="2">
        <v>2.7</v>
      </c>
      <c r="N12" s="12">
        <v>42.225535639039258</v>
      </c>
      <c r="O12">
        <f t="shared" si="0"/>
        <v>2792</v>
      </c>
      <c r="P12">
        <f t="shared" si="1"/>
        <v>558</v>
      </c>
      <c r="Q12">
        <v>2.0545810000000002</v>
      </c>
      <c r="R12">
        <v>8.760821</v>
      </c>
    </row>
    <row r="13" spans="1:18" x14ac:dyDescent="0.2">
      <c r="A13" t="s">
        <v>17</v>
      </c>
      <c r="B13" s="1">
        <v>15800</v>
      </c>
      <c r="C13" s="18">
        <v>17279.72</v>
      </c>
      <c r="D13" s="1">
        <v>1584646</v>
      </c>
      <c r="E13" s="2" t="s">
        <v>36</v>
      </c>
      <c r="F13" s="4">
        <v>0.53500000000000003</v>
      </c>
      <c r="G13" s="9">
        <v>78.400000000000006</v>
      </c>
      <c r="H13" s="2">
        <v>27.5</v>
      </c>
      <c r="I13" s="9">
        <v>13</v>
      </c>
      <c r="J13">
        <v>94.8</v>
      </c>
      <c r="K13">
        <v>40.64</v>
      </c>
      <c r="L13" s="2">
        <v>3.7</v>
      </c>
      <c r="M13" s="2">
        <v>1.7</v>
      </c>
      <c r="N13" s="12">
        <v>31.116533759880443</v>
      </c>
      <c r="O13">
        <f t="shared" si="0"/>
        <v>4937</v>
      </c>
      <c r="P13">
        <f t="shared" si="1"/>
        <v>453</v>
      </c>
      <c r="Q13">
        <v>1.2099690000000001</v>
      </c>
      <c r="R13">
        <v>19.240729999999999</v>
      </c>
    </row>
    <row r="14" spans="1:18" x14ac:dyDescent="0.2">
      <c r="A14" t="s">
        <v>18</v>
      </c>
      <c r="B14" s="1">
        <v>20410</v>
      </c>
      <c r="C14" s="18">
        <v>5227.8999999999996</v>
      </c>
      <c r="D14" s="1">
        <v>639049</v>
      </c>
      <c r="E14" s="2" t="s">
        <v>34</v>
      </c>
      <c r="F14" s="4">
        <v>0.5484</v>
      </c>
      <c r="G14" s="9">
        <v>78.5</v>
      </c>
      <c r="H14" s="2">
        <v>24</v>
      </c>
      <c r="I14" s="9">
        <v>9.4</v>
      </c>
      <c r="J14">
        <v>61.5</v>
      </c>
      <c r="K14">
        <v>47.45</v>
      </c>
      <c r="L14" s="2">
        <v>9.6</v>
      </c>
      <c r="M14" s="2">
        <v>4.0999999999999996</v>
      </c>
      <c r="N14" s="12">
        <v>21.386979462277438</v>
      </c>
      <c r="O14">
        <f t="shared" si="0"/>
        <v>1494</v>
      </c>
      <c r="P14">
        <f t="shared" si="1"/>
        <v>183</v>
      </c>
      <c r="Q14">
        <v>1.338346</v>
      </c>
      <c r="R14">
        <v>13.878690000000001</v>
      </c>
    </row>
    <row r="15" spans="1:18" x14ac:dyDescent="0.2">
      <c r="A15" t="s">
        <v>19</v>
      </c>
      <c r="B15" s="1">
        <v>23560</v>
      </c>
      <c r="C15" s="18">
        <v>1017.2</v>
      </c>
      <c r="D15" s="1">
        <v>117232</v>
      </c>
      <c r="E15" s="2" t="s">
        <v>35</v>
      </c>
      <c r="F15" s="4">
        <v>0.62919999999999998</v>
      </c>
      <c r="G15" s="9">
        <v>78.3</v>
      </c>
      <c r="H15" s="2">
        <v>27.7</v>
      </c>
      <c r="I15" s="9">
        <v>9</v>
      </c>
      <c r="J15">
        <v>89</v>
      </c>
      <c r="K15">
        <v>47.95</v>
      </c>
      <c r="L15" s="2">
        <v>11.6</v>
      </c>
      <c r="M15" s="2">
        <v>4.7</v>
      </c>
      <c r="N15" s="12">
        <v>62.469059405940598</v>
      </c>
      <c r="O15">
        <f t="shared" si="0"/>
        <v>291</v>
      </c>
      <c r="P15">
        <f t="shared" si="1"/>
        <v>33</v>
      </c>
      <c r="Q15">
        <v>1.4260649999999999</v>
      </c>
      <c r="R15">
        <v>15.439830000000001</v>
      </c>
    </row>
    <row r="16" spans="1:18" x14ac:dyDescent="0.2">
      <c r="A16" t="s">
        <v>20</v>
      </c>
      <c r="B16" s="1">
        <v>17700</v>
      </c>
      <c r="C16" s="3">
        <v>2710</v>
      </c>
      <c r="D16" s="1">
        <v>481908</v>
      </c>
      <c r="E16" s="2" t="s">
        <v>37</v>
      </c>
      <c r="F16" s="4">
        <v>0.54210000000000003</v>
      </c>
      <c r="G16" s="14">
        <v>78.099999999999994</v>
      </c>
      <c r="H16" s="15">
        <v>18.3</v>
      </c>
      <c r="I16" s="14">
        <v>17.2</v>
      </c>
      <c r="J16" s="16">
        <v>93.9</v>
      </c>
      <c r="K16" s="16">
        <v>39.5</v>
      </c>
      <c r="L16" s="15">
        <v>2.9</v>
      </c>
      <c r="M16" s="15">
        <v>1.4</v>
      </c>
      <c r="N16" s="17">
        <v>42.9</v>
      </c>
      <c r="O16">
        <f t="shared" si="0"/>
        <v>774</v>
      </c>
      <c r="P16">
        <f t="shared" si="1"/>
        <v>138</v>
      </c>
      <c r="Q16">
        <v>1.2628790000000001</v>
      </c>
      <c r="R16">
        <v>9.6571540000000002</v>
      </c>
    </row>
    <row r="17" spans="1:18" x14ac:dyDescent="0.2">
      <c r="A17" t="s">
        <v>21</v>
      </c>
      <c r="B17" s="1">
        <v>26350</v>
      </c>
      <c r="C17" s="18">
        <v>24045.43</v>
      </c>
      <c r="D17" s="1">
        <v>4720017</v>
      </c>
      <c r="E17" s="2" t="s">
        <v>38</v>
      </c>
      <c r="F17" s="4">
        <v>0.4506</v>
      </c>
      <c r="G17" s="9">
        <v>71.400000000000006</v>
      </c>
      <c r="H17" s="2">
        <v>19.899999999999999</v>
      </c>
      <c r="I17" s="9">
        <v>16</v>
      </c>
      <c r="J17">
        <v>64.900000000000006</v>
      </c>
      <c r="K17">
        <v>48.73</v>
      </c>
      <c r="L17" s="2">
        <v>9.4</v>
      </c>
      <c r="M17" s="2">
        <v>4.9000000000000004</v>
      </c>
      <c r="N17" s="12">
        <v>54.053276682494591</v>
      </c>
      <c r="O17">
        <f t="shared" si="0"/>
        <v>6870</v>
      </c>
      <c r="P17">
        <f t="shared" si="1"/>
        <v>1349</v>
      </c>
      <c r="Q17">
        <v>1.5037590000000001</v>
      </c>
      <c r="R17">
        <v>8.2038150000000005</v>
      </c>
    </row>
    <row r="18" spans="1:18" x14ac:dyDescent="0.2">
      <c r="A18" t="s">
        <v>22</v>
      </c>
      <c r="B18" s="1">
        <v>80080</v>
      </c>
      <c r="C18" s="18">
        <v>4887.2</v>
      </c>
      <c r="D18" s="1">
        <v>736922</v>
      </c>
      <c r="E18" s="2" t="s">
        <v>27</v>
      </c>
      <c r="F18" s="5">
        <v>1</v>
      </c>
      <c r="G18" s="9">
        <v>83</v>
      </c>
      <c r="H18" s="2">
        <v>9.6</v>
      </c>
      <c r="I18" s="9">
        <v>6.7</v>
      </c>
      <c r="J18">
        <v>86.2</v>
      </c>
      <c r="K18" s="13">
        <v>52.27</v>
      </c>
      <c r="L18" s="2">
        <v>53.8</v>
      </c>
      <c r="M18" s="2">
        <v>2.2000000000000002</v>
      </c>
      <c r="N18" s="12">
        <v>69.263883832001881</v>
      </c>
      <c r="O18">
        <f t="shared" si="0"/>
        <v>1396</v>
      </c>
      <c r="P18">
        <f t="shared" si="1"/>
        <v>211</v>
      </c>
      <c r="Q18">
        <v>3</v>
      </c>
      <c r="R18">
        <v>11.512040000000001</v>
      </c>
    </row>
    <row r="19" spans="1:18" x14ac:dyDescent="0.2">
      <c r="A19" t="s">
        <v>23</v>
      </c>
      <c r="B19" s="1">
        <v>9270</v>
      </c>
      <c r="C19" s="18">
        <v>34551.75</v>
      </c>
      <c r="D19" s="1">
        <v>1086670</v>
      </c>
      <c r="E19" s="2" t="s">
        <v>39</v>
      </c>
      <c r="F19" s="4">
        <v>0</v>
      </c>
      <c r="G19" s="9">
        <v>58.5</v>
      </c>
      <c r="H19" s="2">
        <v>29.1</v>
      </c>
      <c r="I19" s="9">
        <v>30.9</v>
      </c>
      <c r="J19">
        <v>47.6</v>
      </c>
      <c r="K19" s="13">
        <v>39.83</v>
      </c>
      <c r="L19" s="2">
        <v>21.7</v>
      </c>
      <c r="M19" s="2">
        <v>1.1000000000000001</v>
      </c>
      <c r="N19" s="12">
        <v>75.3</v>
      </c>
      <c r="O19">
        <f t="shared" si="0"/>
        <v>9872</v>
      </c>
      <c r="P19">
        <f t="shared" si="1"/>
        <v>310</v>
      </c>
      <c r="Q19">
        <v>1.0281260000000001</v>
      </c>
      <c r="R19">
        <v>52.862969999999997</v>
      </c>
    </row>
    <row r="23" spans="1:18" x14ac:dyDescent="0.2">
      <c r="Q23" s="1"/>
    </row>
    <row r="24" spans="1:18" x14ac:dyDescent="0.2">
      <c r="Q24" s="1"/>
    </row>
    <row r="26" spans="1:18" x14ac:dyDescent="0.2">
      <c r="G26" s="1"/>
      <c r="Q26" s="1"/>
    </row>
    <row r="27" spans="1:18" x14ac:dyDescent="0.2">
      <c r="G27" s="1"/>
      <c r="Q27" s="1"/>
    </row>
    <row r="28" spans="1:18" x14ac:dyDescent="0.2">
      <c r="G28" s="1"/>
      <c r="Q28" s="1"/>
    </row>
    <row r="29" spans="1:18" x14ac:dyDescent="0.2">
      <c r="G29" s="1"/>
      <c r="Q29" s="1"/>
    </row>
    <row r="30" spans="1:18" x14ac:dyDescent="0.2">
      <c r="G30" s="1"/>
      <c r="Q30" s="1"/>
    </row>
    <row r="31" spans="1:18" x14ac:dyDescent="0.2">
      <c r="G31" s="1"/>
      <c r="Q31" s="1"/>
    </row>
    <row r="32" spans="1:18" x14ac:dyDescent="0.2">
      <c r="G32" s="1"/>
      <c r="Q32" s="1"/>
    </row>
    <row r="33" spans="7:17" x14ac:dyDescent="0.2">
      <c r="G33" s="1"/>
      <c r="Q33" s="1"/>
    </row>
    <row r="34" spans="7:17" x14ac:dyDescent="0.2">
      <c r="G34" s="1"/>
      <c r="Q34" s="1"/>
    </row>
    <row r="35" spans="7:17" x14ac:dyDescent="0.2">
      <c r="G35" s="1"/>
      <c r="Q35" s="1"/>
    </row>
    <row r="36" spans="7:17" x14ac:dyDescent="0.2">
      <c r="G36" s="1"/>
      <c r="Q36" s="1"/>
    </row>
    <row r="37" spans="7:17" x14ac:dyDescent="0.2">
      <c r="G37" s="1"/>
      <c r="Q37" s="1"/>
    </row>
    <row r="38" spans="7:17" x14ac:dyDescent="0.2">
      <c r="G38" s="1"/>
      <c r="Q38" s="1"/>
    </row>
    <row r="40" spans="7:17" x14ac:dyDescent="0.2">
      <c r="G40" s="1"/>
      <c r="Q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Cannata</dc:creator>
  <cp:lastModifiedBy>Gianluca Cannata</cp:lastModifiedBy>
  <dcterms:created xsi:type="dcterms:W3CDTF">2025-11-07T16:04:36Z</dcterms:created>
  <dcterms:modified xsi:type="dcterms:W3CDTF">2026-05-06T07:13:04Z</dcterms:modified>
</cp:coreProperties>
</file>